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 &amp; Aid" sheetId="1" state="visible" r:id="rId1"/>
    <sheet xmlns:r="http://schemas.openxmlformats.org/officeDocument/2006/relationships" name="Funding Sources" sheetId="2" state="visible" r:id="rId2"/>
    <sheet xmlns:r="http://schemas.openxmlformats.org/officeDocument/2006/relationships" name="Gap Calc DRAFT" sheetId="3" state="visible" r:id="rId3"/>
    <sheet xmlns:r="http://schemas.openxmlformats.org/officeDocument/2006/relationships" name="Tax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B0000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Thornfield 2026-27 — Cost &amp; Aid (fill yellow cells from the AID AWARD LETTER)</t>
        </is>
      </c>
    </row>
    <row r="3">
      <c r="A3" s="2" t="inlineStr">
        <is>
          <t>Item</t>
        </is>
      </c>
      <c r="B3" s="2" t="inlineStr">
        <is>
          <t>Amount</t>
        </is>
      </c>
    </row>
    <row r="4">
      <c r="A4" t="inlineStr">
        <is>
          <t>Total Cost of Attendance</t>
        </is>
      </c>
      <c r="B4" s="3" t="n"/>
    </row>
    <row r="5">
      <c r="A5" t="inlineStr">
        <is>
          <t>Total Gift Aid</t>
        </is>
      </c>
      <c r="B5" s="3" t="n"/>
    </row>
    <row r="6">
      <c r="A6" t="inlineStr">
        <is>
          <t>Net cost after gift aid</t>
        </is>
      </c>
      <c r="B6">
        <f>B4-B5</f>
        <v/>
      </c>
    </row>
    <row r="8">
      <c r="A8" t="inlineStr"/>
      <c r="B8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</cols>
  <sheetData>
    <row r="1">
      <c r="A1" s="1" t="inlineStr">
        <is>
          <t>Year-1 funding plan (fill yellow cells from the named source document)</t>
        </is>
      </c>
    </row>
    <row r="3">
      <c r="A3" s="2" t="inlineStr">
        <is>
          <t>Source</t>
        </is>
      </c>
      <c r="B3" s="2" t="inlineStr">
        <is>
          <t>Amount</t>
        </is>
      </c>
      <c r="C3" s="2" t="inlineStr">
        <is>
          <t>Fill from</t>
        </is>
      </c>
    </row>
    <row r="4">
      <c r="A4" t="inlineStr">
        <is>
          <t>529 balance available</t>
        </is>
      </c>
      <c r="B4" s="3" t="n"/>
      <c r="C4" t="inlineStr">
        <is>
          <t>529 statement</t>
        </is>
      </c>
    </row>
    <row r="5">
      <c r="A5" t="inlineStr">
        <is>
          <t>Planned 529 withdrawal (year 1)</t>
        </is>
      </c>
      <c r="B5" t="n">
        <v>25000</v>
      </c>
      <c r="C5" t="inlineStr">
        <is>
          <t>family plan</t>
        </is>
      </c>
    </row>
    <row r="6">
      <c r="A6" t="inlineStr">
        <is>
          <t>Federal student loans</t>
        </is>
      </c>
      <c r="B6" s="3" t="n"/>
      <c r="C6" t="inlineStr">
        <is>
          <t>aid award letter</t>
        </is>
      </c>
    </row>
    <row r="7">
      <c r="A7" t="inlineStr">
        <is>
          <t>Federal work-study</t>
        </is>
      </c>
      <c r="B7" s="3" t="n"/>
      <c r="C7" t="inlineStr">
        <is>
          <t>aid award letter</t>
        </is>
      </c>
    </row>
    <row r="8">
      <c r="A8" t="inlineStr">
        <is>
          <t>Student summer savings</t>
        </is>
      </c>
      <c r="B8" t="n">
        <v>3000</v>
      </c>
      <c r="C8" t="inlineStr">
        <is>
          <t>student</t>
        </is>
      </c>
    </row>
    <row r="9">
      <c r="A9" t="inlineStr">
        <is>
          <t>Parent MAGI (eligibility check)</t>
        </is>
      </c>
      <c r="B9" s="3" t="n"/>
      <c r="C9" t="inlineStr">
        <is>
          <t>Form 1040 packet</t>
        </is>
      </c>
    </row>
    <row r="11">
      <c r="A11" t="inlineStr"/>
      <c r="B11" t="inlineStr">
        <is>
          <t>SAMPLE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6" customWidth="1" min="3" max="3"/>
  </cols>
  <sheetData>
    <row r="1">
      <c r="A1" s="4" t="inlineStr">
        <is>
          <t>DRAFT gap estimate — NUMBERS NOT YET CHECKED</t>
        </is>
      </c>
    </row>
    <row r="3">
      <c r="A3" s="2" t="inlineStr">
        <is>
          <t>Line</t>
        </is>
      </c>
      <c r="B3" s="2" t="inlineStr">
        <is>
          <t>Amount</t>
        </is>
      </c>
      <c r="C3" s="2" t="inlineStr">
        <is>
          <t>Note</t>
        </is>
      </c>
    </row>
    <row r="4">
      <c r="A4" t="inlineStr">
        <is>
          <t>Net cost after gift aid</t>
        </is>
      </c>
      <c r="B4" t="n">
        <v>42500</v>
      </c>
      <c r="C4" t="inlineStr"/>
    </row>
    <row r="5">
      <c r="A5" t="inlineStr">
        <is>
          <t>Less: 529 withdrawal</t>
        </is>
      </c>
      <c r="B5" t="n">
        <v>-25000</v>
      </c>
      <c r="C5" t="inlineStr">
        <is>
          <t>draw $25k/yr</t>
        </is>
      </c>
    </row>
    <row r="6">
      <c r="A6" t="inlineStr">
        <is>
          <t>Less: federal loans</t>
        </is>
      </c>
      <c r="B6" t="n">
        <v>-5500</v>
      </c>
      <c r="C6" t="inlineStr">
        <is>
          <t>counts as aid</t>
        </is>
      </c>
    </row>
    <row r="7">
      <c r="A7" t="inlineStr">
        <is>
          <t>Less: work-study</t>
        </is>
      </c>
      <c r="B7" t="n">
        <v>-2800</v>
      </c>
      <c r="C7" t="inlineStr">
        <is>
          <t>counts as aid</t>
        </is>
      </c>
    </row>
    <row r="8">
      <c r="A8" t="inlineStr">
        <is>
          <t>Less: student savings</t>
        </is>
      </c>
      <c r="B8" t="n">
        <v>-3000</v>
      </c>
      <c r="C8" t="inlineStr"/>
    </row>
    <row r="9">
      <c r="A9" s="1" t="inlineStr">
        <is>
          <t>Estimated cash gap</t>
        </is>
      </c>
      <c r="B9" s="1" t="n">
        <v>6200</v>
      </c>
      <c r="C9">
        <f>sum above</f>
        <v/>
      </c>
    </row>
    <row r="10">
      <c r="A10" t="inlineStr">
        <is>
          <t>Expected AOTC tax refund</t>
        </is>
      </c>
      <c r="B10" t="n">
        <v>-2500</v>
      </c>
      <c r="C10" t="inlineStr">
        <is>
          <t>assume we just get the full $2,500</t>
        </is>
      </c>
    </row>
    <row r="11">
      <c r="A11" s="1" t="inlineStr">
        <is>
          <t>Effective out-of-pocket</t>
        </is>
      </c>
      <c r="B11" s="1" t="n">
        <v>3700</v>
      </c>
      <c r="C11" t="inlineStr">
        <is>
          <t>gap minus credit</t>
        </is>
      </c>
    </row>
    <row r="12">
      <c r="A12" t="inlineStr">
        <is>
          <t>529 lasts 4 years?</t>
        </is>
      </c>
      <c r="C12" t="inlineStr">
        <is>
          <t>61,420 / 25,000 ~ should stretch with growth :)</t>
        </is>
      </c>
    </row>
    <row r="14">
      <c r="A14" t="inlineStr"/>
      <c r="B14" t="inlineStr">
        <is>
          <t>SAMPLE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</cols>
  <sheetData>
    <row r="1">
      <c r="A1" s="1" t="inlineStr">
        <is>
          <t>AOTC &amp; investment-tax checklist (fill from documents / IRS rules)</t>
        </is>
      </c>
    </row>
    <row r="3">
      <c r="A3" s="2" t="inlineStr">
        <is>
          <t>Question</t>
        </is>
      </c>
      <c r="B3" s="2" t="inlineStr">
        <is>
          <t>Answer</t>
        </is>
      </c>
    </row>
    <row r="4">
      <c r="A4" t="inlineStr">
        <is>
          <t>Parent MAGI (from 1040 packet)</t>
        </is>
      </c>
      <c r="B4" s="3" t="n"/>
    </row>
    <row r="5">
      <c r="A5" t="inlineStr">
        <is>
          <t>AOTC MFJ phase-out range</t>
        </is>
      </c>
      <c r="B5" s="3" t="n"/>
    </row>
    <row r="6">
      <c r="A6" t="inlineStr">
        <is>
          <t>Qualified tuition that must be paid OUTSIDE the 529 to use the full AOTC base</t>
        </is>
      </c>
      <c r="B6" s="3" t="n"/>
    </row>
    <row r="7">
      <c r="A7" t="inlineStr">
        <is>
          <t>Is the $2,300 muni interest taxable?</t>
        </is>
      </c>
      <c r="B7" s="3" t="n"/>
    </row>
    <row r="8">
      <c r="A8" t="inlineStr">
        <is>
          <t>NIIT owed? (MAGI vs $250,000 MFJ)</t>
        </is>
      </c>
      <c r="B8" s="3" t="n"/>
    </row>
    <row r="9">
      <c r="A9" t="inlineStr">
        <is>
          <t>Foreign tax credit claimable without Form 1116? amount</t>
        </is>
      </c>
      <c r="B9" s="3" t="n"/>
    </row>
    <row r="10">
      <c r="A10" t="inlineStr">
        <is>
          <t>When does the 0% card promo expire?</t>
        </is>
      </c>
      <c r="B10" s="3" t="n"/>
    </row>
    <row r="12">
      <c r="A12" t="inlineStr"/>
      <c r="B12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2026-06-15T23:41:44Z</dcterms:created>
  <dcterms:modified xmlns:dcterms="http://purl.org/dc/terms/" xmlns:xsi="http://www.w3.org/2001/XMLSchema-instance" xsi:type="dcterms:W3CDTF">2026-06-15T23:41:44Z</dcterms:modified>
</cp:coreProperties>
</file>
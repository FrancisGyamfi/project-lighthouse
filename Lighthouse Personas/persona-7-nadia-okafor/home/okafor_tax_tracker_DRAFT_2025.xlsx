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come" sheetId="2" state="visible" r:id="rId4"/>
    <sheet name="Investments_1099B" sheetId="3" state="visible" r:id="rId5"/>
    <sheet name="Cash_Flow_2026" sheetId="4" state="visible" r:id="rId6"/>
    <sheet name="Retirement_HSA" sheetId="5" state="visible" r:id="rId7"/>
    <sheet name="Tax_Estimate_DRAF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B6" authorId="0">
      <text>
        <r>
          <rPr>
            <sz val="10"/>
            <rFont val="Arial"/>
            <family val="2"/>
          </rPr>
          <t xml:space="preserve">TODO — pull from W-2 Brightmoor, Box 3 (note: capped at the SS wage base)</t>
        </r>
      </text>
    </comment>
    <comment ref="C4" authorId="0">
      <text>
        <r>
          <rPr>
            <sz val="10"/>
            <rFont val="Arial"/>
            <family val="2"/>
          </rPr>
          <t xml:space="preserve">TODO — pull from W-2 Halcyon, Box 1</t>
        </r>
      </text>
    </comment>
    <comment ref="C7" authorId="0">
      <text>
        <r>
          <rPr>
            <sz val="10"/>
            <rFont val="Arial"/>
            <family val="2"/>
          </rPr>
          <t xml:space="preserve">TODO — pull from W-2 Halcyon, Box 4</t>
        </r>
      </text>
    </comment>
    <comment ref="C10" authorId="0">
      <text>
        <r>
          <rPr>
            <sz val="10"/>
            <rFont val="Arial"/>
            <family val="2"/>
          </rPr>
          <t xml:space="preserve">TODO — pull from W-2 Halcyon, Box 12 code 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B21" authorId="0">
      <text>
        <r>
          <rPr>
            <sz val="10"/>
            <rFont val="Arial"/>
            <family val="2"/>
          </rPr>
          <t xml:space="preserve">TODO — pull from 1099-INT Box 8 (excluded from taxable income &amp; NII)</t>
        </r>
      </text>
    </comment>
    <comment ref="B24" authorId="0">
      <text>
        <r>
          <rPr>
            <sz val="10"/>
            <rFont val="Arial"/>
            <family val="2"/>
          </rPr>
          <t xml:space="preserve">TODO — pull from 1099-DIV Box 5 → 20% QBI deduction</t>
        </r>
      </text>
    </comment>
    <comment ref="B25" authorId="0">
      <text>
        <r>
          <rPr>
            <sz val="10"/>
            <rFont val="Arial"/>
            <family val="2"/>
          </rPr>
          <t xml:space="preserve">TODO — pull from 1099-DIV Box 7 → foreign tax credit</t>
        </r>
      </text>
    </comment>
    <comment ref="D4" authorId="0">
      <text>
        <r>
          <rPr>
            <sz val="10"/>
            <rFont val="Arial"/>
            <family val="2"/>
          </rPr>
          <t xml:space="preserve">TODO — pull from Stock Plan Supplemental (adjusted basis)</t>
        </r>
      </text>
    </comment>
    <comment ref="D5" authorId="0">
      <text>
        <r>
          <rPr>
            <sz val="10"/>
            <rFont val="Arial"/>
            <family val="2"/>
          </rPr>
          <t xml:space="preserve">TODO — pull from Stock Plan Supplemental (adjusted basis)</t>
        </r>
      </text>
    </comment>
    <comment ref="D6" authorId="0">
      <text>
        <r>
          <rPr>
            <sz val="10"/>
            <rFont val="Arial"/>
            <family val="2"/>
          </rPr>
          <t xml:space="preserve">TODO — pull from Stock Plan Supplemental (adjusted basis)</t>
        </r>
      </text>
    </comment>
    <comment ref="G4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5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6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7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8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9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0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1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2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3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4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5" authorId="0">
      <text>
        <r>
          <rPr>
            <sz val="10"/>
            <rFont val="Arial"/>
            <family val="2"/>
          </rPr>
          <t xml:space="preserve">TODO — pull from compute: Proceeds − Adj.basis; if a loss, add back the Wash amount</t>
        </r>
      </text>
    </comment>
    <comment ref="G16" authorId="0">
      <text>
        <r>
          <rPr>
            <sz val="10"/>
            <rFont val="Arial"/>
            <family val="2"/>
          </rPr>
          <t xml:space="preserve">TODO — pull from sum of LT lot gains above + 1099-DIV Box 2a $720</t>
        </r>
      </text>
    </comment>
    <comment ref="G17" authorId="0">
      <text>
        <r>
          <rPr>
            <sz val="10"/>
            <rFont val="Arial"/>
            <family val="2"/>
          </rPr>
          <t xml:space="preserve">TODO — pull from sum of ST lot gains above (after wash add-backs)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B4" authorId="0">
      <text>
        <r>
          <rPr>
            <sz val="10"/>
            <rFont val="Arial"/>
            <family val="2"/>
          </rPr>
          <t xml:space="preserve">TODO — pull from paystub net / bank 'Payroll Deposit' line</t>
        </r>
      </text>
    </comment>
    <comment ref="B6" authorId="0">
      <text>
        <r>
          <rPr>
            <sz val="10"/>
            <rFont val="Arial"/>
            <family val="2"/>
          </rPr>
          <t xml:space="preserve">TODO — pull from sum the recurring subscription lines on the checking statement</t>
        </r>
      </text>
    </comment>
    <comment ref="B11" authorId="0">
      <text>
        <r>
          <rPr>
            <sz val="10"/>
            <rFont val="Arial"/>
            <family val="2"/>
          </rPr>
          <t xml:space="preserve">TODO — pull from sum remaining POS/debit lines, EXCLUDING transfers and the reversed duplicate</t>
        </r>
      </text>
    </comment>
    <comment ref="B12" authorId="0">
      <text>
        <r>
          <rPr>
            <sz val="10"/>
            <rFont val="Arial"/>
            <family val="2"/>
          </rPr>
          <t xml:space="preserve">TODO — pull from net pay − rent − subs − utilities − discretionary (transfers are savings, not spend)</t>
        </r>
      </text>
    </comment>
    <comment ref="C4" authorId="0">
      <text>
        <r>
          <rPr>
            <sz val="10"/>
            <rFont val="Arial"/>
            <family val="2"/>
          </rPr>
          <t xml:space="preserve">TODO — pull from paystub net / bank 'Payroll Deposit' line</t>
        </r>
      </text>
    </comment>
    <comment ref="C6" authorId="0">
      <text>
        <r>
          <rPr>
            <sz val="10"/>
            <rFont val="Arial"/>
            <family val="2"/>
          </rPr>
          <t xml:space="preserve">TODO — pull from sum the recurring subscription lines on the checking statement</t>
        </r>
      </text>
    </comment>
    <comment ref="C11" authorId="0">
      <text>
        <r>
          <rPr>
            <sz val="10"/>
            <rFont val="Arial"/>
            <family val="2"/>
          </rPr>
          <t xml:space="preserve">TODO — pull from sum remaining POS/debit lines, EXCLUDING transfers and the reversed duplicate</t>
        </r>
      </text>
    </comment>
    <comment ref="C12" authorId="0">
      <text>
        <r>
          <rPr>
            <sz val="10"/>
            <rFont val="Arial"/>
            <family val="2"/>
          </rPr>
          <t xml:space="preserve">TODO — pull from net pay − rent − subs − utilities − discretionary (transfers are savings, not spend)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B5" authorId="0">
      <text>
        <r>
          <rPr>
            <sz val="10"/>
            <rFont val="Arial"/>
            <family val="2"/>
          </rPr>
          <t xml:space="preserve">TODO — pull from W-2 Halcyon, Box 12 D</t>
        </r>
      </text>
    </comment>
    <comment ref="B8" authorId="0">
      <text>
        <r>
          <rPr>
            <sz val="10"/>
            <rFont val="Arial"/>
            <family val="2"/>
          </rPr>
          <t xml:space="preserve">TODO — pull from compute: combined deferral − $23,500 limit</t>
        </r>
      </text>
    </comment>
    <comment ref="B12" authorId="0">
      <text>
        <r>
          <rPr>
            <sz val="10"/>
            <rFont val="Arial"/>
            <family val="2"/>
          </rPr>
          <t xml:space="preserve">TODO — pull from HealthEquity HSA statement (Form 5498-SA, employee direct)</t>
        </r>
      </text>
    </comment>
    <comment ref="B15" authorId="0">
      <text>
        <r>
          <rPr>
            <sz val="10"/>
            <rFont val="Arial"/>
            <family val="2"/>
          </rPr>
          <t xml:space="preserve">TODO — pull from only the direct (non-Code-W) contributions are deductible</t>
        </r>
      </text>
    </comment>
  </commentList>
</comments>
</file>

<file path=xl/sharedStrings.xml><?xml version="1.0" encoding="utf-8"?>
<sst xmlns="http://schemas.openxmlformats.org/spreadsheetml/2006/main" count="137" uniqueCount="127">
  <si>
    <t xml:space="preserve">Nadia's 2025 Tax Sanity-Check — WORKING DRAFT (half done)</t>
  </si>
  <si>
    <t xml:space="preserve">Status: incomplete. Yellow cells = I still need to look these up. Pink tab (Tax_Estimate_DRAFT)</t>
  </si>
  <si>
    <t xml:space="preserve">is my first stab and I'm pretty sure parts are wrong — my number came out around $25,685 and that</t>
  </si>
  <si>
    <t xml:space="preserve">feels way too high given how much was withheld across two jobs.</t>
  </si>
  <si>
    <t xml:space="preserve">What I still need to do:</t>
  </si>
  <si>
    <t xml:space="preserve">  1. Pull the second W-2 (Halcyon) boxes into the Income tab and get my true combined wages.</t>
  </si>
  <si>
    <t xml:space="preserve">  2. Fix the RSU/ESPP cost basis — Fidelity's 1099-B looks too low; there's a Stock Plan Supplemental.</t>
  </si>
  <si>
    <t xml:space="preserve">  3. Handle the two wash sales (HALC and MSFT) and split short-term vs long-term.</t>
  </si>
  <si>
    <t xml:space="preserve">  4. Did I over-contribute to my 401(k) across both jobs? (see Retirement_HSA tab)</t>
  </si>
  <si>
    <t xml:space="preserve">  5. Excess Social Security from two employers — do I get that back?</t>
  </si>
  <si>
    <t xml:space="preserve">  6. The muni bond fund, the REIT (199A) dividends, and the foreign tax — no idea how those work.</t>
  </si>
  <si>
    <t xml:space="preserve">  7. Monthly cash flow for early 2026 (Cash_Flow tab) so I know what I can set aside.</t>
  </si>
  <si>
    <t xml:space="preserve">Cross-references (where each number comes from):</t>
  </si>
  <si>
    <t xml:space="preserve">  Income tab  &lt;- W-2 Brightmoor, W-2 Halcyon, paystubs</t>
  </si>
  <si>
    <t xml:space="preserve">  Investments &lt;- Fidelity Consolidated 1099, Stock Plan Supplemental, brokerage statements</t>
  </si>
  <si>
    <t xml:space="preserve">  Cash_Flow   &lt;- Harborstone checking statements + CSVs, paystub net</t>
  </si>
  <si>
    <t xml:space="preserve">  Retirement  &lt;- both W-2s (Box 12 D), HealthEquity HSA statement</t>
  </si>
  <si>
    <t xml:space="preserve">  Tax_Estimate&lt;- everything above + 2024 Form 1040 (for the safe harbor)</t>
  </si>
  <si>
    <t xml:space="preserve">W-2 Income — two employers (2025)</t>
  </si>
  <si>
    <t xml:space="preserve">Box</t>
  </si>
  <si>
    <t xml:space="preserve">Brightmoor (Jan–Jun)</t>
  </si>
  <si>
    <t xml:space="preserve">Halcyon (Jul–Dec)</t>
  </si>
  <si>
    <t xml:space="preserve">Combined</t>
  </si>
  <si>
    <t xml:space="preserve">Box 1 — Wages</t>
  </si>
  <si>
    <t xml:space="preserve">Box 2 — Federal income tax withheld</t>
  </si>
  <si>
    <t xml:space="preserve">Box 3 — Social Security wages</t>
  </si>
  <si>
    <t xml:space="preserve">Box 4 — Social Security tax withheld</t>
  </si>
  <si>
    <t xml:space="preserve">Box 5 — Medicare wages</t>
  </si>
  <si>
    <t xml:space="preserve">Box 6 — Medicare tax withheld</t>
  </si>
  <si>
    <t xml:space="preserve">Box 12 D — 401(k) elective deferral</t>
  </si>
  <si>
    <t xml:space="preserve">Box 14 — RSU income (incl. in Box 1)</t>
  </si>
  <si>
    <t xml:space="preserve">Box 17 — MA state income tax</t>
  </si>
  <si>
    <t xml:space="preserve">Two-employer questions</t>
  </si>
  <si>
    <t xml:space="preserve">Combined Box 4 SS tax withheld</t>
  </si>
  <si>
    <t xml:space="preserve">2025 max SS tax (one employer)</t>
  </si>
  <si>
    <t xml:space="preserve">Excess SS withheld — refundable credit (Sch 3)</t>
  </si>
  <si>
    <t xml:space="preserve">Combined Medicare wages (Box 5)</t>
  </si>
  <si>
    <t xml:space="preserve">Additional Medicare tax (0.9% over $200,000)</t>
  </si>
  <si>
    <t xml:space="preserve">Fidelity 1099-B lots — equity comp basis is the problem</t>
  </si>
  <si>
    <t xml:space="preserve">Lot</t>
  </si>
  <si>
    <t xml:space="preserve">Proceeds</t>
  </si>
  <si>
    <t xml:space="preserve">Broker basis</t>
  </si>
  <si>
    <t xml:space="preserve">Adj. basis</t>
  </si>
  <si>
    <t xml:space="preserve">Term</t>
  </si>
  <si>
    <t xml:space="preserve">Wash</t>
  </si>
  <si>
    <t xml:space="preserve">Gain/(loss)</t>
  </si>
  <si>
    <t xml:space="preserve">RSU 120sh BMA</t>
  </si>
  <si>
    <t xml:space="preserve">LT</t>
  </si>
  <si>
    <t xml:space="preserve">RSU 70sh BMA</t>
  </si>
  <si>
    <t xml:space="preserve">ESPP 90sh BMA</t>
  </si>
  <si>
    <t xml:space="preserve">VTI 70sh</t>
  </si>
  <si>
    <t xml:space="preserve">VXUS 140sh</t>
  </si>
  <si>
    <t xml:space="preserve">BND 80sh</t>
  </si>
  <si>
    <t xml:space="preserve">SCHD 40sh</t>
  </si>
  <si>
    <t xml:space="preserve">AAPL 30sh</t>
  </si>
  <si>
    <t xml:space="preserve">HALC 50sh</t>
  </si>
  <si>
    <t xml:space="preserve">ST</t>
  </si>
  <si>
    <t xml:space="preserve">TECHX 60sh</t>
  </si>
  <si>
    <t xml:space="preserve">NVDA 15sh</t>
  </si>
  <si>
    <t xml:space="preserve">MSFT 20sh</t>
  </si>
  <si>
    <t xml:space="preserve">Net LONG-TERM gain (sum LT + $720 cap-gain distr)</t>
  </si>
  <si>
    <t xml:space="preserve">Net SHORT-TERM gain (ordinary rate)</t>
  </si>
  <si>
    <t xml:space="preserve">Interest &amp; dividends (1099-INT / 1099-DIV)</t>
  </si>
  <si>
    <t xml:space="preserve">Taxable interest (Box 1)</t>
  </si>
  <si>
    <t xml:space="preserve">Tax-exempt muni interest (Box 8) — taxable? </t>
  </si>
  <si>
    <t xml:space="preserve">Ordinary dividends (Box 1a)</t>
  </si>
  <si>
    <t xml:space="preserve">Qualified dividends (Box 1b)</t>
  </si>
  <si>
    <t xml:space="preserve">Section 199A REIT dividends (Box 5)</t>
  </si>
  <si>
    <t xml:space="preserve">Foreign tax paid (Box 7)</t>
  </si>
  <si>
    <t xml:space="preserve">Monthly cash flow — early 2026 (from Harborstone statements)</t>
  </si>
  <si>
    <t xml:space="preserve">Item</t>
  </si>
  <si>
    <t xml:space="preserve">March 2026</t>
  </si>
  <si>
    <t xml:space="preserve">April 2026</t>
  </si>
  <si>
    <t xml:space="preserve">Net payroll deposit (= paystub net pay)</t>
  </si>
  <si>
    <t xml:space="preserve">Rent</t>
  </si>
  <si>
    <t xml:space="preserve">Total recurring subscriptions</t>
  </si>
  <si>
    <t xml:space="preserve">Utilities (Eversource + Water + Comcast + Verizon + MBTA)</t>
  </si>
  <si>
    <t xml:space="preserve">— Transfer to Savings (not spending)</t>
  </si>
  <si>
    <t xml:space="preserve">— Transfer to Fidelity brokerage (not spending)</t>
  </si>
  <si>
    <t xml:space="preserve">— Transfer to HealthEquity HSA (not spending)</t>
  </si>
  <si>
    <t xml:space="preserve">Discretionary (groceries, dining, etc.)</t>
  </si>
  <si>
    <t xml:space="preserve">True monthly surplus available to save</t>
  </si>
  <si>
    <t xml:space="preserve">Note: the brokerage/savings/HSA transfers are moving my own money — don't count them as expenses (that was my mistake last time).</t>
  </si>
  <si>
    <t xml:space="preserve">401(k) across two jobs + HSA</t>
  </si>
  <si>
    <t xml:space="preserve">401(k) elective deferral</t>
  </si>
  <si>
    <t xml:space="preserve">Brightmoor (W-2 Box 12 D)</t>
  </si>
  <si>
    <t xml:space="preserve">Halcyon (W-2 Box 12 D)</t>
  </si>
  <si>
    <t xml:space="preserve">Combined deferral</t>
  </si>
  <si>
    <t xml:space="preserve">2025 employee deferral limit</t>
  </si>
  <si>
    <t xml:space="preserve">Excess deferral (must be added back to wages)</t>
  </si>
  <si>
    <t xml:space="preserve">HSA (HealthEquity)</t>
  </si>
  <si>
    <t xml:space="preserve">Employer / cafeteria contributions (W-2 Code W)</t>
  </si>
  <si>
    <t xml:space="preserve">My direct (post-tax) contributions</t>
  </si>
  <si>
    <t xml:space="preserve">Total contributions</t>
  </si>
  <si>
    <t xml:space="preserve">2025 self-only limit</t>
  </si>
  <si>
    <t xml:space="preserve">Above-the-line deduction (Schedule 1) — deductible amount</t>
  </si>
  <si>
    <t xml:space="preserve">MY DRAFT 2025 TAX ESTIMATE — probably has mistakes</t>
  </si>
  <si>
    <t xml:space="preserve">(pink cells are ones I'm unsure about)</t>
  </si>
  <si>
    <t xml:space="preserve">Line</t>
  </si>
  <si>
    <t xml:space="preserve">Amount</t>
  </si>
  <si>
    <t xml:space="preserve">My note</t>
  </si>
  <si>
    <t xml:space="preserve">Wages (both W-2 Box 1 + 401k excess)</t>
  </si>
  <si>
    <t xml:space="preserve">Taxable interest (incl. muni, to be safe)</t>
  </si>
  <si>
    <t xml:space="preserve">added the $1,200 muni — not sure</t>
  </si>
  <si>
    <t xml:space="preserve">Ordinary dividends</t>
  </si>
  <si>
    <t xml:space="preserve">Capital gains (from Fidelity 1099-B totals)</t>
  </si>
  <si>
    <t xml:space="preserve">used the broker basis numbers</t>
  </si>
  <si>
    <t xml:space="preserve">Total income</t>
  </si>
  <si>
    <t xml:space="preserve">HSA deduction</t>
  </si>
  <si>
    <t xml:space="preserve">AGI</t>
  </si>
  <si>
    <t xml:space="preserve">Standard deduction (single, 2025)</t>
  </si>
  <si>
    <t xml:space="preserve">QBI / 199A deduction</t>
  </si>
  <si>
    <t xml:space="preserve">left blank</t>
  </si>
  <si>
    <t xml:space="preserve">Taxable income</t>
  </si>
  <si>
    <t xml:space="preserve">Income tax (my estimate)</t>
  </si>
  <si>
    <t xml:space="preserve">Foreign tax credit</t>
  </si>
  <si>
    <t xml:space="preserve">didn't bother</t>
  </si>
  <si>
    <t xml:space="preserve">Net investment income tax</t>
  </si>
  <si>
    <t xml:space="preserve">Additional Medicare tax</t>
  </si>
  <si>
    <t xml:space="preserve">TOTAL TAX</t>
  </si>
  <si>
    <t xml:space="preserve">Less: federal withholding (both W-2s)</t>
  </si>
  <si>
    <t xml:space="preserve">Less: Q4 estimated payment</t>
  </si>
  <si>
    <t xml:space="preserve">Less: excess Social Security credit</t>
  </si>
  <si>
    <t xml:space="preserve">forgot about this</t>
  </si>
  <si>
    <t xml:space="preserve">AMOUNT I THINK I OWE (my estimate)</t>
  </si>
  <si>
    <t xml:space="preserve">feels too high?!</t>
  </si>
  <si>
    <t xml:space="preserve">Safe harbor check: 2024 total tax was $62,000 (see 2024 Form 1040); 110% = $68,200. My withholding alone was only $59,000.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</si>
</sst>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E6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A3E6E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E6E"/>
        <bgColor rgb="FF333399"/>
      </patternFill>
    </fill>
    <fill>
      <patternFill patternType="solid">
        <fgColor rgb="FFFFF2A8"/>
        <bgColor rgb="FFFFFFCC"/>
      </patternFill>
    </fill>
    <fill>
      <patternFill patternType="solid">
        <fgColor rgb="FFFBD5D5"/>
        <bgColor rgb="FFFFF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2"/>
      </left>
      <right style="thin">
        <color rgb="FFC9D4E2"/>
      </right>
      <top style="thin">
        <color rgb="FFC9D4E2"/>
      </top>
      <bottom style="thin">
        <color rgb="FFC9D4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4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</row>
    <row r="4" customFormat="false" ht="15" hidden="false" customHeight="false" outlineLevel="0" collapsed="false">
      <c r="A4" s="4" t="s">
        <v>23</v>
      </c>
      <c r="B4" s="5" t="n">
        <v>175400</v>
      </c>
      <c r="C4" s="6"/>
      <c r="D4" s="7" t="n">
        <f aca="false">B4+C4</f>
        <v>175400</v>
      </c>
    </row>
    <row r="5" customFormat="false" ht="15" hidden="false" customHeight="false" outlineLevel="0" collapsed="false">
      <c r="A5" s="4" t="s">
        <v>24</v>
      </c>
      <c r="B5" s="5" t="n">
        <v>33000</v>
      </c>
      <c r="C5" s="5" t="n">
        <v>26000</v>
      </c>
      <c r="D5" s="7" t="n">
        <f aca="false">B5+C5</f>
        <v>59000</v>
      </c>
    </row>
    <row r="6" customFormat="false" ht="15" hidden="false" customHeight="false" outlineLevel="0" collapsed="false">
      <c r="A6" s="4" t="s">
        <v>25</v>
      </c>
      <c r="B6" s="6"/>
      <c r="C6" s="5" t="n">
        <v>159600</v>
      </c>
      <c r="D6" s="7" t="n">
        <f aca="false">B6+C6</f>
        <v>159600</v>
      </c>
    </row>
    <row r="7" customFormat="false" ht="15" hidden="false" customHeight="false" outlineLevel="0" collapsed="false">
      <c r="A7" s="4" t="s">
        <v>26</v>
      </c>
      <c r="B7" s="5" t="n">
        <v>10918.2</v>
      </c>
      <c r="C7" s="6"/>
      <c r="D7" s="7" t="n">
        <f aca="false">B7+C7</f>
        <v>10918.2</v>
      </c>
    </row>
    <row r="8" customFormat="false" ht="15" hidden="false" customHeight="false" outlineLevel="0" collapsed="false">
      <c r="A8" s="4" t="s">
        <v>27</v>
      </c>
      <c r="B8" s="5" t="n">
        <v>189400</v>
      </c>
      <c r="C8" s="5" t="n">
        <v>159600</v>
      </c>
      <c r="D8" s="7" t="n">
        <f aca="false">B8+C8</f>
        <v>349000</v>
      </c>
    </row>
    <row r="9" customFormat="false" ht="15" hidden="false" customHeight="false" outlineLevel="0" collapsed="false">
      <c r="A9" s="4" t="s">
        <v>28</v>
      </c>
      <c r="B9" s="5" t="n">
        <v>2746.3</v>
      </c>
      <c r="C9" s="5" t="n">
        <v>2314.2</v>
      </c>
      <c r="D9" s="7" t="n">
        <f aca="false">B9+C9</f>
        <v>5060.5</v>
      </c>
    </row>
    <row r="10" customFormat="false" ht="15" hidden="false" customHeight="false" outlineLevel="0" collapsed="false">
      <c r="A10" s="4" t="s">
        <v>29</v>
      </c>
      <c r="B10" s="5" t="n">
        <v>14000</v>
      </c>
      <c r="C10" s="6"/>
      <c r="D10" s="7" t="n">
        <f aca="false">B10+C10</f>
        <v>14000</v>
      </c>
    </row>
    <row r="11" customFormat="false" ht="15" hidden="false" customHeight="false" outlineLevel="0" collapsed="false">
      <c r="A11" s="4" t="s">
        <v>30</v>
      </c>
      <c r="B11" s="5" t="n">
        <v>40000</v>
      </c>
      <c r="C11" s="5" t="n">
        <v>30000</v>
      </c>
      <c r="D11" s="7" t="n">
        <f aca="false">B11+C11</f>
        <v>70000</v>
      </c>
    </row>
    <row r="12" customFormat="false" ht="15" hidden="false" customHeight="false" outlineLevel="0" collapsed="false">
      <c r="A12" s="4" t="s">
        <v>31</v>
      </c>
      <c r="B12" s="5" t="n">
        <v>8770</v>
      </c>
      <c r="C12" s="5" t="n">
        <v>7430</v>
      </c>
      <c r="D12" s="7" t="n">
        <f aca="false">B12+C12</f>
        <v>16200</v>
      </c>
    </row>
    <row r="14" customFormat="false" ht="15" hidden="false" customHeight="false" outlineLevel="0" collapsed="false">
      <c r="A14" s="8" t="s">
        <v>32</v>
      </c>
    </row>
    <row r="15" customFormat="false" ht="15" hidden="false" customHeight="false" outlineLevel="0" collapsed="false">
      <c r="A15" s="4" t="s">
        <v>33</v>
      </c>
      <c r="B15" s="7" t="n">
        <f aca="false">B7+C7</f>
        <v>10918.2</v>
      </c>
    </row>
    <row r="16" customFormat="false" ht="15" hidden="false" customHeight="false" outlineLevel="0" collapsed="false">
      <c r="A16" s="4" t="s">
        <v>34</v>
      </c>
      <c r="B16" s="5" t="n">
        <v>10918.2</v>
      </c>
    </row>
    <row r="17" customFormat="false" ht="15" hidden="false" customHeight="false" outlineLevel="0" collapsed="false">
      <c r="A17" s="4" t="s">
        <v>35</v>
      </c>
      <c r="B17" s="7" t="n">
        <f aca="false">D7-B16</f>
        <v>0</v>
      </c>
    </row>
    <row r="18" customFormat="false" ht="15" hidden="false" customHeight="false" outlineLevel="0" collapsed="false">
      <c r="A18" s="4" t="s">
        <v>36</v>
      </c>
      <c r="B18" s="7" t="n">
        <f aca="false">B8+C8</f>
        <v>349000</v>
      </c>
    </row>
    <row r="19" customFormat="false" ht="15" hidden="false" customHeight="false" outlineLevel="0" collapsed="false">
      <c r="A19" s="4" t="s">
        <v>37</v>
      </c>
      <c r="B19" s="7" t="n">
        <f aca="false">(D17-200000)*0.009</f>
        <v>-1800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</row>
    <row r="4" customFormat="false" ht="15" hidden="false" customHeight="false" outlineLevel="0" collapsed="false">
      <c r="A4" s="4" t="s">
        <v>46</v>
      </c>
      <c r="B4" s="5" t="n">
        <v>52000</v>
      </c>
      <c r="C4" s="5" t="n">
        <v>38000</v>
      </c>
      <c r="D4" s="9"/>
      <c r="E4" s="2" t="s">
        <v>47</v>
      </c>
      <c r="F4" s="10" t="n">
        <v>0</v>
      </c>
      <c r="G4" s="9"/>
    </row>
    <row r="5" customFormat="false" ht="15" hidden="false" customHeight="false" outlineLevel="0" collapsed="false">
      <c r="A5" s="4" t="s">
        <v>48</v>
      </c>
      <c r="B5" s="5" t="n">
        <v>24000</v>
      </c>
      <c r="C5" s="5" t="n">
        <v>9000</v>
      </c>
      <c r="D5" s="9"/>
      <c r="E5" s="2" t="s">
        <v>47</v>
      </c>
      <c r="F5" s="10" t="n">
        <v>0</v>
      </c>
      <c r="G5" s="9"/>
    </row>
    <row r="6" customFormat="false" ht="15" hidden="false" customHeight="false" outlineLevel="0" collapsed="false">
      <c r="A6" s="4" t="s">
        <v>49</v>
      </c>
      <c r="B6" s="5" t="n">
        <v>18000</v>
      </c>
      <c r="C6" s="5" t="n">
        <v>12000</v>
      </c>
      <c r="D6" s="9"/>
      <c r="E6" s="2" t="s">
        <v>47</v>
      </c>
      <c r="F6" s="10" t="n">
        <v>0</v>
      </c>
      <c r="G6" s="9"/>
    </row>
    <row r="7" customFormat="false" ht="15" hidden="false" customHeight="false" outlineLevel="0" collapsed="false">
      <c r="A7" s="4" t="s">
        <v>50</v>
      </c>
      <c r="B7" s="5" t="n">
        <v>22000</v>
      </c>
      <c r="C7" s="5" t="n">
        <v>15000</v>
      </c>
      <c r="D7" s="5" t="n">
        <v>15000</v>
      </c>
      <c r="E7" s="2" t="s">
        <v>47</v>
      </c>
      <c r="F7" s="10" t="n">
        <v>0</v>
      </c>
      <c r="G7" s="9"/>
    </row>
    <row r="8" customFormat="false" ht="15" hidden="false" customHeight="false" outlineLevel="0" collapsed="false">
      <c r="A8" s="4" t="s">
        <v>51</v>
      </c>
      <c r="B8" s="5" t="n">
        <v>9500</v>
      </c>
      <c r="C8" s="5" t="n">
        <v>8200</v>
      </c>
      <c r="D8" s="5" t="n">
        <v>8200</v>
      </c>
      <c r="E8" s="2" t="s">
        <v>47</v>
      </c>
      <c r="F8" s="10" t="n">
        <v>0</v>
      </c>
      <c r="G8" s="9"/>
    </row>
    <row r="9" customFormat="false" ht="15" hidden="false" customHeight="false" outlineLevel="0" collapsed="false">
      <c r="A9" s="4" t="s">
        <v>52</v>
      </c>
      <c r="B9" s="5" t="n">
        <v>6000</v>
      </c>
      <c r="C9" s="5" t="n">
        <v>7100</v>
      </c>
      <c r="D9" s="5" t="n">
        <v>7100</v>
      </c>
      <c r="E9" s="2" t="s">
        <v>47</v>
      </c>
      <c r="F9" s="10" t="n">
        <v>0</v>
      </c>
      <c r="G9" s="9"/>
    </row>
    <row r="10" customFormat="false" ht="15" hidden="false" customHeight="false" outlineLevel="0" collapsed="false">
      <c r="A10" s="4" t="s">
        <v>53</v>
      </c>
      <c r="B10" s="5" t="n">
        <v>4800</v>
      </c>
      <c r="C10" s="5" t="n">
        <v>3900</v>
      </c>
      <c r="D10" s="5" t="n">
        <v>3900</v>
      </c>
      <c r="E10" s="2" t="s">
        <v>47</v>
      </c>
      <c r="F10" s="10" t="n">
        <v>0</v>
      </c>
      <c r="G10" s="9"/>
    </row>
    <row r="11" customFormat="false" ht="15" hidden="false" customHeight="false" outlineLevel="0" collapsed="false">
      <c r="A11" s="4" t="s">
        <v>54</v>
      </c>
      <c r="B11" s="5" t="n">
        <v>6800</v>
      </c>
      <c r="C11" s="5" t="n">
        <v>4200</v>
      </c>
      <c r="D11" s="5" t="n">
        <v>4200</v>
      </c>
      <c r="E11" s="2" t="s">
        <v>47</v>
      </c>
      <c r="F11" s="10" t="n">
        <v>0</v>
      </c>
      <c r="G11" s="9"/>
    </row>
    <row r="12" customFormat="false" ht="15" hidden="false" customHeight="false" outlineLevel="0" collapsed="false">
      <c r="A12" s="4" t="s">
        <v>55</v>
      </c>
      <c r="B12" s="5" t="n">
        <v>9000</v>
      </c>
      <c r="C12" s="5" t="n">
        <v>11500</v>
      </c>
      <c r="D12" s="5" t="n">
        <v>11500</v>
      </c>
      <c r="E12" s="2" t="s">
        <v>56</v>
      </c>
      <c r="F12" s="10" t="n">
        <v>1500</v>
      </c>
      <c r="G12" s="9"/>
    </row>
    <row r="13" customFormat="false" ht="15" hidden="false" customHeight="false" outlineLevel="0" collapsed="false">
      <c r="A13" s="4" t="s">
        <v>57</v>
      </c>
      <c r="B13" s="5" t="n">
        <v>5400</v>
      </c>
      <c r="C13" s="5" t="n">
        <v>4300</v>
      </c>
      <c r="D13" s="5" t="n">
        <v>4300</v>
      </c>
      <c r="E13" s="2" t="s">
        <v>56</v>
      </c>
      <c r="F13" s="10" t="n">
        <v>0</v>
      </c>
      <c r="G13" s="9"/>
    </row>
    <row r="14" customFormat="false" ht="15" hidden="false" customHeight="false" outlineLevel="0" collapsed="false">
      <c r="A14" s="4" t="s">
        <v>58</v>
      </c>
      <c r="B14" s="5" t="n">
        <v>8200</v>
      </c>
      <c r="C14" s="5" t="n">
        <v>7600</v>
      </c>
      <c r="D14" s="5" t="n">
        <v>7600</v>
      </c>
      <c r="E14" s="2" t="s">
        <v>56</v>
      </c>
      <c r="F14" s="10" t="n">
        <v>0</v>
      </c>
      <c r="G14" s="9"/>
    </row>
    <row r="15" customFormat="false" ht="15" hidden="false" customHeight="false" outlineLevel="0" collapsed="false">
      <c r="A15" s="4" t="s">
        <v>59</v>
      </c>
      <c r="B15" s="5" t="n">
        <v>8000</v>
      </c>
      <c r="C15" s="5" t="n">
        <v>9200</v>
      </c>
      <c r="D15" s="5" t="n">
        <v>9200</v>
      </c>
      <c r="E15" s="2" t="s">
        <v>56</v>
      </c>
      <c r="F15" s="10" t="n">
        <v>700</v>
      </c>
      <c r="G15" s="9"/>
    </row>
    <row r="16" customFormat="false" ht="15" hidden="false" customHeight="false" outlineLevel="0" collapsed="false">
      <c r="A16" s="4" t="s">
        <v>60</v>
      </c>
      <c r="G16" s="9"/>
    </row>
    <row r="17" customFormat="false" ht="15" hidden="false" customHeight="false" outlineLevel="0" collapsed="false">
      <c r="A17" s="4" t="s">
        <v>61</v>
      </c>
      <c r="G17" s="9"/>
    </row>
    <row r="19" customFormat="false" ht="15" hidden="false" customHeight="false" outlineLevel="0" collapsed="false">
      <c r="A19" s="8" t="s">
        <v>62</v>
      </c>
    </row>
    <row r="20" customFormat="false" ht="15" hidden="false" customHeight="false" outlineLevel="0" collapsed="false">
      <c r="A20" s="4" t="s">
        <v>63</v>
      </c>
      <c r="B20" s="5" t="n">
        <v>2140</v>
      </c>
    </row>
    <row r="21" customFormat="false" ht="15" hidden="false" customHeight="false" outlineLevel="0" collapsed="false">
      <c r="A21" s="4" t="s">
        <v>64</v>
      </c>
      <c r="B21" s="9"/>
    </row>
    <row r="22" customFormat="false" ht="15" hidden="false" customHeight="false" outlineLevel="0" collapsed="false">
      <c r="A22" s="4" t="s">
        <v>65</v>
      </c>
      <c r="B22" s="5" t="n">
        <v>4650</v>
      </c>
    </row>
    <row r="23" customFormat="false" ht="15" hidden="false" customHeight="false" outlineLevel="0" collapsed="false">
      <c r="A23" s="4" t="s">
        <v>66</v>
      </c>
      <c r="B23" s="5" t="n">
        <v>3400</v>
      </c>
    </row>
    <row r="24" customFormat="false" ht="15" hidden="false" customHeight="false" outlineLevel="0" collapsed="false">
      <c r="A24" s="4" t="s">
        <v>67</v>
      </c>
      <c r="B24" s="9"/>
    </row>
    <row r="25" customFormat="false" ht="15" hidden="false" customHeight="false" outlineLevel="0" collapsed="false">
      <c r="A25" s="4" t="s">
        <v>68</v>
      </c>
      <c r="B2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3" t="s">
        <v>70</v>
      </c>
      <c r="B3" s="3" t="s">
        <v>71</v>
      </c>
      <c r="C3" s="3" t="s">
        <v>72</v>
      </c>
    </row>
    <row r="4" customFormat="false" ht="15" hidden="false" customHeight="false" outlineLevel="0" collapsed="false">
      <c r="A4" s="4" t="s">
        <v>73</v>
      </c>
      <c r="B4" s="9"/>
      <c r="C4" s="9"/>
    </row>
    <row r="5" customFormat="false" ht="15" hidden="false" customHeight="false" outlineLevel="0" collapsed="false">
      <c r="A5" s="4" t="s">
        <v>74</v>
      </c>
      <c r="B5" s="5" t="n">
        <v>4250</v>
      </c>
      <c r="C5" s="5" t="n">
        <v>4250</v>
      </c>
    </row>
    <row r="6" customFormat="false" ht="15" hidden="false" customHeight="false" outlineLevel="0" collapsed="false">
      <c r="A6" s="4" t="s">
        <v>75</v>
      </c>
      <c r="B6" s="9"/>
      <c r="C6" s="9"/>
    </row>
    <row r="7" customFormat="false" ht="15" hidden="false" customHeight="false" outlineLevel="0" collapsed="false">
      <c r="A7" s="4" t="s">
        <v>76</v>
      </c>
      <c r="B7" s="5" t="n">
        <v>419.46</v>
      </c>
      <c r="C7" s="5" t="n">
        <v>419.46</v>
      </c>
    </row>
    <row r="8" customFormat="false" ht="15" hidden="false" customHeight="false" outlineLevel="0" collapsed="false">
      <c r="A8" s="4" t="s">
        <v>77</v>
      </c>
      <c r="B8" s="5" t="n">
        <v>500</v>
      </c>
      <c r="C8" s="5" t="n">
        <v>500</v>
      </c>
    </row>
    <row r="9" customFormat="false" ht="15" hidden="false" customHeight="false" outlineLevel="0" collapsed="false">
      <c r="A9" s="4" t="s">
        <v>78</v>
      </c>
      <c r="B9" s="5" t="n">
        <v>2500</v>
      </c>
      <c r="C9" s="5" t="n">
        <v>2500</v>
      </c>
    </row>
    <row r="10" customFormat="false" ht="15" hidden="false" customHeight="false" outlineLevel="0" collapsed="false">
      <c r="A10" s="4" t="s">
        <v>79</v>
      </c>
      <c r="B10" s="5" t="n">
        <v>200</v>
      </c>
      <c r="C10" s="5" t="n">
        <v>200</v>
      </c>
    </row>
    <row r="11" customFormat="false" ht="15" hidden="false" customHeight="false" outlineLevel="0" collapsed="false">
      <c r="A11" s="4" t="s">
        <v>80</v>
      </c>
      <c r="B11" s="9"/>
      <c r="C11" s="9"/>
    </row>
    <row r="12" customFormat="false" ht="15" hidden="false" customHeight="false" outlineLevel="0" collapsed="false">
      <c r="A12" s="4" t="s">
        <v>81</v>
      </c>
      <c r="B12" s="9"/>
      <c r="C12" s="9"/>
    </row>
    <row r="14" customFormat="false" ht="15" hidden="false" customHeight="false" outlineLevel="0" collapsed="false">
      <c r="A14" s="1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8" t="s">
        <v>84</v>
      </c>
    </row>
    <row r="4" customFormat="false" ht="15" hidden="false" customHeight="false" outlineLevel="0" collapsed="false">
      <c r="A4" s="4" t="s">
        <v>85</v>
      </c>
      <c r="B4" s="5" t="n">
        <v>14000</v>
      </c>
    </row>
    <row r="5" customFormat="false" ht="15" hidden="false" customHeight="false" outlineLevel="0" collapsed="false">
      <c r="A5" s="4" t="s">
        <v>86</v>
      </c>
      <c r="B5" s="9"/>
    </row>
    <row r="6" customFormat="false" ht="15" hidden="false" customHeight="false" outlineLevel="0" collapsed="false">
      <c r="A6" s="4" t="s">
        <v>87</v>
      </c>
      <c r="B6" s="7" t="n">
        <f aca="false">B4+B5</f>
        <v>14000</v>
      </c>
    </row>
    <row r="7" customFormat="false" ht="15" hidden="false" customHeight="false" outlineLevel="0" collapsed="false">
      <c r="A7" s="4" t="s">
        <v>88</v>
      </c>
      <c r="B7" s="5" t="n">
        <v>23500</v>
      </c>
    </row>
    <row r="8" customFormat="false" ht="15" hidden="false" customHeight="false" outlineLevel="0" collapsed="false">
      <c r="A8" s="4" t="s">
        <v>89</v>
      </c>
      <c r="B8" s="9"/>
    </row>
    <row r="10" customFormat="false" ht="15" hidden="false" customHeight="false" outlineLevel="0" collapsed="false">
      <c r="A10" s="8" t="s">
        <v>90</v>
      </c>
    </row>
    <row r="11" customFormat="false" ht="15" hidden="false" customHeight="false" outlineLevel="0" collapsed="false">
      <c r="A11" s="4" t="s">
        <v>91</v>
      </c>
      <c r="B11" s="5" t="n">
        <v>1000</v>
      </c>
    </row>
    <row r="12" customFormat="false" ht="15" hidden="false" customHeight="false" outlineLevel="0" collapsed="false">
      <c r="A12" s="4" t="s">
        <v>92</v>
      </c>
      <c r="B12" s="9"/>
    </row>
    <row r="13" customFormat="false" ht="15" hidden="false" customHeight="false" outlineLevel="0" collapsed="false">
      <c r="A13" s="4" t="s">
        <v>93</v>
      </c>
      <c r="B13" s="7" t="n">
        <f aca="false">B11+B12</f>
        <v>1000</v>
      </c>
    </row>
    <row r="14" customFormat="false" ht="15" hidden="false" customHeight="false" outlineLevel="0" collapsed="false">
      <c r="A14" s="4" t="s">
        <v>94</v>
      </c>
      <c r="B14" s="5" t="n">
        <v>4300</v>
      </c>
    </row>
    <row r="15" customFormat="false" ht="15" hidden="false" customHeight="false" outlineLevel="0" collapsed="false">
      <c r="A15" s="4" t="s">
        <v>95</v>
      </c>
      <c r="B1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11" t="s">
        <v>97</v>
      </c>
    </row>
    <row r="3" customFormat="false" ht="15" hidden="false" customHeight="false" outlineLevel="0" collapsed="false">
      <c r="A3" s="3" t="s">
        <v>98</v>
      </c>
      <c r="B3" s="3" t="s">
        <v>99</v>
      </c>
      <c r="C3" s="3" t="s">
        <v>100</v>
      </c>
    </row>
    <row r="4" customFormat="false" ht="15" hidden="false" customHeight="false" outlineLevel="0" collapsed="false">
      <c r="A4" s="4" t="s">
        <v>101</v>
      </c>
      <c r="B4" s="7" t="n">
        <v>325500</v>
      </c>
      <c r="C4" s="11"/>
    </row>
    <row r="5" customFormat="false" ht="15" hidden="false" customHeight="false" outlineLevel="0" collapsed="false">
      <c r="A5" s="4" t="s">
        <v>102</v>
      </c>
      <c r="B5" s="12" t="n">
        <v>3340</v>
      </c>
      <c r="C5" s="11" t="s">
        <v>103</v>
      </c>
    </row>
    <row r="6" customFormat="false" ht="15" hidden="false" customHeight="false" outlineLevel="0" collapsed="false">
      <c r="A6" s="4" t="s">
        <v>104</v>
      </c>
      <c r="B6" s="7" t="n">
        <v>4650</v>
      </c>
      <c r="C6" s="11"/>
    </row>
    <row r="7" customFormat="false" ht="15" hidden="false" customHeight="false" outlineLevel="0" collapsed="false">
      <c r="A7" s="4" t="s">
        <v>105</v>
      </c>
      <c r="B7" s="12" t="n">
        <v>46620</v>
      </c>
      <c r="C7" s="11" t="s">
        <v>106</v>
      </c>
    </row>
    <row r="8" customFormat="false" ht="15" hidden="false" customHeight="false" outlineLevel="0" collapsed="false">
      <c r="A8" s="4" t="s">
        <v>107</v>
      </c>
      <c r="B8" s="7" t="n">
        <v>380110</v>
      </c>
      <c r="C8" s="11"/>
    </row>
    <row r="9" customFormat="false" ht="15" hidden="false" customHeight="false" outlineLevel="0" collapsed="false">
      <c r="A9" s="4" t="s">
        <v>108</v>
      </c>
      <c r="B9" s="7" t="n">
        <v>-2400</v>
      </c>
      <c r="C9" s="11"/>
    </row>
    <row r="10" customFormat="false" ht="15" hidden="false" customHeight="false" outlineLevel="0" collapsed="false">
      <c r="A10" s="4" t="s">
        <v>109</v>
      </c>
      <c r="B10" s="7" t="n">
        <v>377710</v>
      </c>
      <c r="C10" s="11"/>
    </row>
    <row r="11" customFormat="false" ht="15" hidden="false" customHeight="false" outlineLevel="0" collapsed="false">
      <c r="A11" s="4" t="s">
        <v>110</v>
      </c>
      <c r="B11" s="7" t="n">
        <v>-15750</v>
      </c>
      <c r="C11" s="11"/>
    </row>
    <row r="12" customFormat="false" ht="15" hidden="false" customHeight="false" outlineLevel="0" collapsed="false">
      <c r="A12" s="4" t="s">
        <v>111</v>
      </c>
      <c r="B12" s="12" t="n">
        <v>0</v>
      </c>
      <c r="C12" s="11" t="s">
        <v>112</v>
      </c>
    </row>
    <row r="13" customFormat="false" ht="15" hidden="false" customHeight="false" outlineLevel="0" collapsed="false">
      <c r="A13" s="4" t="s">
        <v>113</v>
      </c>
      <c r="B13" s="7" t="n">
        <v>361960</v>
      </c>
      <c r="C13" s="11"/>
    </row>
    <row r="14" customFormat="false" ht="15" hidden="false" customHeight="false" outlineLevel="0" collapsed="false">
      <c r="A14" s="4" t="s">
        <v>114</v>
      </c>
      <c r="B14" s="7" t="n">
        <v>86269.25</v>
      </c>
      <c r="C14" s="11"/>
    </row>
    <row r="15" customFormat="false" ht="15" hidden="false" customHeight="false" outlineLevel="0" collapsed="false">
      <c r="A15" s="4" t="s">
        <v>115</v>
      </c>
      <c r="B15" s="12" t="n">
        <v>0</v>
      </c>
      <c r="C15" s="11" t="s">
        <v>116</v>
      </c>
    </row>
    <row r="16" customFormat="false" ht="15" hidden="false" customHeight="false" outlineLevel="0" collapsed="false">
      <c r="A16" s="4" t="s">
        <v>117</v>
      </c>
      <c r="B16" s="7" t="n">
        <v>2075.18</v>
      </c>
      <c r="C16" s="11"/>
    </row>
    <row r="17" customFormat="false" ht="15" hidden="false" customHeight="false" outlineLevel="0" collapsed="false">
      <c r="A17" s="4" t="s">
        <v>118</v>
      </c>
      <c r="B17" s="7" t="n">
        <v>1341</v>
      </c>
      <c r="C17" s="11"/>
    </row>
    <row r="18" customFormat="false" ht="15" hidden="false" customHeight="false" outlineLevel="0" collapsed="false">
      <c r="A18" s="4" t="s">
        <v>119</v>
      </c>
      <c r="B18" s="7" t="n">
        <v>89685.43</v>
      </c>
      <c r="C18" s="11"/>
    </row>
    <row r="19" customFormat="false" ht="15" hidden="false" customHeight="false" outlineLevel="0" collapsed="false">
      <c r="A19" s="4" t="s">
        <v>120</v>
      </c>
      <c r="B19" s="7" t="n">
        <v>-59000</v>
      </c>
      <c r="C19" s="11"/>
    </row>
    <row r="20" customFormat="false" ht="15" hidden="false" customHeight="false" outlineLevel="0" collapsed="false">
      <c r="A20" s="4" t="s">
        <v>121</v>
      </c>
      <c r="B20" s="7" t="n">
        <v>-5000</v>
      </c>
      <c r="C20" s="11"/>
    </row>
    <row r="21" customFormat="false" ht="15" hidden="false" customHeight="false" outlineLevel="0" collapsed="false">
      <c r="A21" s="4" t="s">
        <v>122</v>
      </c>
      <c r="B21" s="12" t="n">
        <v>0</v>
      </c>
      <c r="C21" s="11" t="s">
        <v>123</v>
      </c>
    </row>
    <row r="22" customFormat="false" ht="15" hidden="false" customHeight="false" outlineLevel="0" collapsed="false">
      <c r="A22" s="4" t="s">
        <v>124</v>
      </c>
      <c r="B22" s="7" t="n">
        <v>25685.43</v>
      </c>
      <c r="C22" s="11" t="s">
        <v>125</v>
      </c>
    </row>
    <row r="24" customFormat="false" ht="15" hidden="false" customHeight="false" outlineLevel="0" collapsed="false">
      <c r="A24" s="1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2026-06-14T19:43:45Z</dcterms:created>
  <dc:creator>openpyxl</dc:creator>
  <dc:description/>
  <dc:language>en-US</dc:language>
  <cp:lastModifiedBy/>
  <dcterms:modified xsi:type="dcterms:W3CDTF">2026-06-14T19:43:45Z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
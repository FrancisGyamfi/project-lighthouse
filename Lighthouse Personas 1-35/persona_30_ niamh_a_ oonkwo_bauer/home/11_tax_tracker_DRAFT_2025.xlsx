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ges &amp; Withholding" sheetId="1" state="visible" r:id="rId1"/>
    <sheet xmlns:r="http://schemas.openxmlformats.org/officeDocument/2006/relationships" name="Investment Income" sheetId="2" state="visible" r:id="rId2"/>
    <sheet xmlns:r="http://schemas.openxmlformats.org/officeDocument/2006/relationships" name="Deductions" sheetId="3" state="visible" r:id="rId3"/>
    <sheet xmlns:r="http://schemas.openxmlformats.org/officeDocument/2006/relationships" name="Household Employee" sheetId="4" state="visible" r:id="rId4"/>
    <sheet xmlns:r="http://schemas.openxmlformats.org/officeDocument/2006/relationships" name="1040 Dra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A40"/>
      <sz val="13"/>
    </font>
    <font>
      <b val="1"/>
      <color rgb="00FFFFFF"/>
      <sz val="11"/>
    </font>
    <font>
      <b val="1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6415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2025 Wages &amp; Withholding — from Forms W-2</t>
        </is>
      </c>
    </row>
    <row r="3">
      <c r="A3" s="2" t="inlineStr">
        <is>
          <t>W-2 box</t>
        </is>
      </c>
      <c r="B3" s="2" t="inlineStr">
        <is>
          <t>Niamh (DOJ)</t>
        </is>
      </c>
      <c r="C3" s="2" t="inlineStr">
        <is>
          <t>Stefan (PGHS)</t>
        </is>
      </c>
      <c r="D3" s="2" t="inlineStr">
        <is>
          <t>Combined</t>
        </is>
      </c>
    </row>
    <row r="4">
      <c r="A4" t="inlineStr">
        <is>
          <t>Box 1 — Wages (taxable)</t>
        </is>
      </c>
      <c r="B4" s="3" t="n">
        <v>174810</v>
      </c>
      <c r="C4" s="3" t="n">
        <v>193460</v>
      </c>
      <c r="D4" s="3">
        <f>B4+C4</f>
        <v/>
      </c>
    </row>
    <row r="5">
      <c r="A5" t="inlineStr">
        <is>
          <t>Box 2 — Federal income tax withheld</t>
        </is>
      </c>
      <c r="B5" s="3" t="n">
        <v>33049.92</v>
      </c>
      <c r="C5" s="3" t="n">
        <v>24550.08</v>
      </c>
      <c r="D5" s="3">
        <f>B5+C5</f>
        <v/>
      </c>
    </row>
    <row r="6">
      <c r="A6" t="inlineStr">
        <is>
          <t>Box 3 — Social Security wages</t>
        </is>
      </c>
      <c r="B6" s="3" t="n">
        <v>176100</v>
      </c>
      <c r="C6" s="3" t="n">
        <v>176100</v>
      </c>
      <c r="D6" s="3">
        <f>B6+C6</f>
        <v/>
      </c>
    </row>
    <row r="7">
      <c r="A7" t="inlineStr">
        <is>
          <t>Box 4 — Social Security tax</t>
        </is>
      </c>
      <c r="B7" s="3" t="n">
        <v>10918.2</v>
      </c>
      <c r="C7" s="3" t="n">
        <v>10918.2</v>
      </c>
      <c r="D7" s="3">
        <f>B7+C7</f>
        <v/>
      </c>
    </row>
    <row r="8">
      <c r="A8" t="inlineStr">
        <is>
          <t>Box 5 — Medicare wages</t>
        </is>
      </c>
      <c r="B8" s="3" t="n">
        <v>190950</v>
      </c>
      <c r="C8" s="3" t="n">
        <v>216960</v>
      </c>
      <c r="D8" s="3">
        <f>B8+C8</f>
        <v/>
      </c>
    </row>
    <row r="9">
      <c r="A9" t="inlineStr">
        <is>
          <t>Box 6 — Medicare tax withheld</t>
        </is>
      </c>
      <c r="B9" s="3" t="n">
        <v>2768.88</v>
      </c>
      <c r="C9" s="3" t="n">
        <v>3298.56</v>
      </c>
      <c r="D9" s="3">
        <f>B9+C9</f>
        <v/>
      </c>
    </row>
    <row r="10">
      <c r="A10" t="inlineStr">
        <is>
          <t>Box 17 — DC income tax withheld</t>
        </is>
      </c>
      <c r="B10" s="3" t="n">
        <v>13258.8</v>
      </c>
      <c r="C10" s="3" t="n">
        <v>14844</v>
      </c>
      <c r="D10" s="3">
        <f>B10+C10</f>
        <v/>
      </c>
    </row>
    <row r="11">
      <c r="A11" t="inlineStr">
        <is>
          <t>Filing status</t>
        </is>
      </c>
      <c r="B11" t="inlineStr">
        <is>
          <t>Married filing jointly</t>
        </is>
      </c>
    </row>
    <row r="12">
      <c r="A12" t="inlineStr">
        <is>
          <t>Number of W-2 employers</t>
        </is>
      </c>
      <c r="B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2025 Investment Income — from Consolidated 1099</t>
        </is>
      </c>
    </row>
    <row r="3">
      <c r="A3" s="2" t="inlineStr">
        <is>
          <t>Item</t>
        </is>
      </c>
      <c r="B3" s="2" t="inlineStr">
        <is>
          <t>Amount</t>
        </is>
      </c>
    </row>
    <row r="4">
      <c r="A4" t="inlineStr">
        <is>
          <t>1099-INT box 1 — Taxable interest</t>
        </is>
      </c>
      <c r="B4" s="3" t="n">
        <v>3180</v>
      </c>
    </row>
    <row r="5">
      <c r="A5" t="inlineStr">
        <is>
          <t>1099-INT box 8 — Tax-exempt interest</t>
        </is>
      </c>
      <c r="B5" s="3" t="n">
        <v>1840</v>
      </c>
    </row>
    <row r="6">
      <c r="A6" t="inlineStr">
        <is>
          <t>1099-DIV box 1a — Ordinary dividends</t>
        </is>
      </c>
      <c r="B6" s="3" t="n">
        <v>9420</v>
      </c>
    </row>
    <row r="7">
      <c r="A7" t="inlineStr">
        <is>
          <t>1099-DIV box 1b — Qualified dividends</t>
        </is>
      </c>
      <c r="B7" s="3" t="n">
        <v>7860</v>
      </c>
    </row>
    <row r="8">
      <c r="A8" t="inlineStr">
        <is>
          <t>1099-B — Net long-term capital gain</t>
        </is>
      </c>
      <c r="B8" s="3" t="n">
        <v>14500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2025 Itemized Deductions (Schedule A)</t>
        </is>
      </c>
    </row>
    <row r="3">
      <c r="A3" s="2" t="inlineStr">
        <is>
          <t>Item</t>
        </is>
      </c>
      <c r="B3" s="2" t="inlineStr">
        <is>
          <t>Amount</t>
        </is>
      </c>
    </row>
    <row r="4">
      <c r="A4" t="inlineStr">
        <is>
          <t>State &amp; local income tax (W-2 box 17, both)</t>
        </is>
      </c>
      <c r="B4" s="3" t="n">
        <v>28102.8</v>
      </c>
    </row>
    <row r="5">
      <c r="A5" t="inlineStr">
        <is>
          <t>Real estate tax (DC property)</t>
        </is>
      </c>
      <c r="B5" s="3" t="n">
        <v>8266.68</v>
      </c>
    </row>
    <row r="6">
      <c r="A6" t="inlineStr">
        <is>
          <t>SALT subtotal</t>
        </is>
      </c>
      <c r="B6">
        <f>B4+B5</f>
        <v/>
      </c>
    </row>
    <row r="7">
      <c r="A7" t="inlineStr">
        <is>
          <t>SALT allowed (2025 cap $40,000 MFJ)</t>
        </is>
      </c>
      <c r="B7" s="3" t="n">
        <v>36369.48</v>
      </c>
    </row>
    <row r="8">
      <c r="A8" t="inlineStr">
        <is>
          <t>Home mortgage interest (Form 1098)</t>
        </is>
      </c>
      <c r="B8" s="3" t="n">
        <v>28820.97</v>
      </c>
    </row>
    <row r="9">
      <c r="A9" t="inlineStr">
        <is>
          <t>Charitable contributions</t>
        </is>
      </c>
      <c r="B9" s="3" t="n">
        <v>6200</v>
      </c>
    </row>
    <row r="10">
      <c r="A10" t="inlineStr">
        <is>
          <t>Total itemized deductions</t>
        </is>
      </c>
      <c r="B10">
        <f>B7+B8+B9</f>
        <v/>
      </c>
    </row>
    <row r="11">
      <c r="A11" t="inlineStr">
        <is>
          <t>Standard deduction (MFJ)</t>
        </is>
      </c>
      <c r="B11" s="3" t="n">
        <v>31500</v>
      </c>
    </row>
    <row r="12">
      <c r="A12" t="inlineStr">
        <is>
          <t>Using itemized (exceeds standard)?</t>
        </is>
      </c>
      <c r="B1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Household Employee — Payroll Summary</t>
        </is>
      </c>
    </row>
    <row r="3">
      <c r="A3" s="2" t="inlineStr">
        <is>
          <t>Item</t>
        </is>
      </c>
      <c r="B3" s="2" t="inlineStr">
        <is>
          <t>Detail</t>
        </is>
      </c>
    </row>
    <row r="4">
      <c r="A4" t="inlineStr">
        <is>
          <t>Employee name</t>
        </is>
      </c>
      <c r="B4" t="inlineStr">
        <is>
          <t>Marisol del Carmen Carrasco-Vega</t>
        </is>
      </c>
    </row>
    <row r="5">
      <c r="A5" t="inlineStr">
        <is>
          <t>Employee SSN</t>
        </is>
      </c>
      <c r="B5" t="inlineStr">
        <is>
          <t>XXX-XX-3340</t>
        </is>
      </c>
    </row>
    <row r="6">
      <c r="A6" t="inlineStr">
        <is>
          <t>Household employer EIN</t>
        </is>
      </c>
      <c r="B6" t="inlineStr">
        <is>
          <t>27-5530418</t>
        </is>
      </c>
    </row>
    <row r="7">
      <c r="A7" t="inlineStr">
        <is>
          <t>Pay frequency</t>
        </is>
      </c>
      <c r="B7" t="inlineStr">
        <is>
          <t>Semimonthly (24 pay dates)</t>
        </is>
      </c>
    </row>
    <row r="8">
      <c r="A8" t="inlineStr">
        <is>
          <t>Cash wages paid in 2025</t>
        </is>
      </c>
      <c r="C8" s="3" t="n">
        <v>50400</v>
      </c>
    </row>
    <row r="9">
      <c r="A9" t="inlineStr">
        <is>
          <t>Employee SS tax withheld (6.2%)</t>
        </is>
      </c>
      <c r="C9" s="3" t="n">
        <v>3124.8</v>
      </c>
    </row>
    <row r="10">
      <c r="A10" t="inlineStr">
        <is>
          <t>Employee Medicare withheld (1.45%)</t>
        </is>
      </c>
      <c r="C10" s="3" t="n">
        <v>730.8</v>
      </c>
    </row>
    <row r="11">
      <c r="A11" t="inlineStr">
        <is>
          <t>DC unemployment (SUTA) paid</t>
        </is>
      </c>
      <c r="C11" s="3" t="n">
        <v>243</v>
      </c>
    </row>
    <row r="12">
      <c r="A12" t="inlineStr">
        <is>
          <t>Schedule H — Social Security &amp; Medicare tax (employer + employee)</t>
        </is>
      </c>
      <c r="C12" s="4" t="n"/>
    </row>
    <row r="13">
      <c r="A13" t="inlineStr">
        <is>
          <t>Schedule H — Federal unemployment tax (FUTA)</t>
        </is>
      </c>
      <c r="C13" s="4" t="n"/>
    </row>
    <row r="14">
      <c r="A14" t="inlineStr">
        <is>
          <t>Schedule H — total household employment tax</t>
        </is>
      </c>
      <c r="C14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2025 Form 1040 — DRAFT (self-prepared)</t>
        </is>
      </c>
    </row>
    <row r="3">
      <c r="A3" s="2" t="inlineStr">
        <is>
          <t>Line</t>
        </is>
      </c>
      <c r="C3" s="2" t="inlineStr">
        <is>
          <t>Amount</t>
        </is>
      </c>
    </row>
    <row r="5">
      <c r="A5" t="inlineStr">
        <is>
          <t>Wages (Form 1040 line 1a)</t>
        </is>
      </c>
      <c r="C5" s="3" t="n">
        <v>368270</v>
      </c>
    </row>
    <row r="6">
      <c r="A6" t="inlineStr">
        <is>
          <t>Taxable interest (2b)</t>
        </is>
      </c>
      <c r="C6" s="3" t="n">
        <v>3180</v>
      </c>
    </row>
    <row r="7">
      <c r="A7" t="inlineStr">
        <is>
          <t>Tax-exempt interest (2a) — informational</t>
        </is>
      </c>
      <c r="C7" s="3" t="n">
        <v>1840</v>
      </c>
    </row>
    <row r="8">
      <c r="A8" t="inlineStr">
        <is>
          <t>Ordinary dividends (3b)</t>
        </is>
      </c>
      <c r="C8" s="3" t="n">
        <v>9420</v>
      </c>
    </row>
    <row r="9">
      <c r="A9" t="inlineStr">
        <is>
          <t>Qualified dividends (3a) — informational</t>
        </is>
      </c>
      <c r="C9" s="3" t="n">
        <v>7860</v>
      </c>
    </row>
    <row r="10">
      <c r="A10" t="inlineStr">
        <is>
          <t>Capital gain (7)</t>
        </is>
      </c>
      <c r="C10" s="3" t="n">
        <v>14500</v>
      </c>
    </row>
    <row r="11">
      <c r="A11" t="inlineStr">
        <is>
          <t>Student loan interest adjustment (Schedule 1)</t>
        </is>
      </c>
      <c r="C11" s="3" t="n">
        <v>2500</v>
      </c>
    </row>
    <row r="12">
      <c r="A12" s="5" t="inlineStr">
        <is>
          <t>Adjusted gross income (11)</t>
        </is>
      </c>
      <c r="C12" s="3">
        <f>C5+C6+C8+C10-C11</f>
        <v/>
      </c>
    </row>
    <row r="13">
      <c r="A13" t="inlineStr">
        <is>
          <t>Itemized deductions (12)</t>
        </is>
      </c>
      <c r="C13" s="3" t="n">
        <v>71390.45</v>
      </c>
    </row>
    <row r="14">
      <c r="A14" s="5" t="inlineStr">
        <is>
          <t>Taxable income (15)</t>
        </is>
      </c>
      <c r="C14" s="3">
        <f>C12-C13</f>
        <v/>
      </c>
    </row>
    <row r="15">
      <c r="A15" t="inlineStr">
        <is>
          <t>Tax (16)</t>
        </is>
      </c>
      <c r="C15" s="3" t="n">
        <v>60836.69</v>
      </c>
    </row>
    <row r="16">
      <c r="A16" t="inlineStr">
        <is>
          <t>Child tax credit (19)</t>
        </is>
      </c>
      <c r="C16" s="3" t="n">
        <v>4400</v>
      </c>
    </row>
    <row r="17">
      <c r="A17" t="inlineStr">
        <is>
          <t>Child &amp; dependent care credit (Sch 3)</t>
        </is>
      </c>
      <c r="C17" s="3" t="n">
        <v>1200</v>
      </c>
    </row>
    <row r="18">
      <c r="A18" s="5" t="inlineStr">
        <is>
          <t>Subtotal after credits (22)</t>
        </is>
      </c>
      <c r="C18" s="3">
        <f>C15-C16-C17</f>
        <v/>
      </c>
    </row>
    <row r="19">
      <c r="A19" t="inlineStr">
        <is>
          <t>Additional Medicare Tax (Form 8959)</t>
        </is>
      </c>
      <c r="C19" s="4" t="n"/>
    </row>
    <row r="20">
      <c r="A20" t="inlineStr">
        <is>
          <t>Net investment income tax (Form 8960)</t>
        </is>
      </c>
      <c r="C20" s="3" t="n">
        <v>1029.8</v>
      </c>
    </row>
    <row r="21">
      <c r="A21" t="inlineStr">
        <is>
          <t>Household employment taxes (Schedule H)</t>
        </is>
      </c>
      <c r="C21" s="4" t="n"/>
    </row>
    <row r="22">
      <c r="A22" s="5" t="inlineStr">
        <is>
          <t>Total other taxes (Sch 2)</t>
        </is>
      </c>
      <c r="C22" s="3">
        <f>C19+C20+C21</f>
        <v/>
      </c>
    </row>
    <row r="23">
      <c r="A23" s="5" t="inlineStr">
        <is>
          <t>TOTAL TAX (24)</t>
        </is>
      </c>
      <c r="C23" s="3">
        <f>C18+C22</f>
        <v/>
      </c>
    </row>
    <row r="24">
      <c r="A24" t="inlineStr">
        <is>
          <t>Federal tax withheld (25)</t>
        </is>
      </c>
      <c r="C24" s="3" t="n">
        <v>57600</v>
      </c>
    </row>
    <row r="25">
      <c r="A25" s="5" t="inlineStr">
        <is>
          <t>Balance due / (refund) (37/35a)</t>
        </is>
      </c>
      <c r="C25" s="3">
        <f>C23-C24</f>
        <v/>
      </c>
    </row>
    <row r="27">
      <c r="A27" s="6" t="inlineStr">
        <is>
          <t>Note: yellow cells are not yet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2025 Tax Tracker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2026-06-24T03:03:34Z</dcterms:created>
  <dcterms:modified xmlns:dcterms="http://purl.org/dc/terms/" xmlns:xsi="http://www.w3.org/2001/XMLSchema-instance" xsi:type="dcterms:W3CDTF">2026-06-24T03:03:34Z</dcterms:modified>
  <cp:lastModifiedBy/>
  <cp:category/>
  <cp:keywords/>
</cp:coreProperties>
</file>